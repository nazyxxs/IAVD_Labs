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НУЛП\Інтелектуальний аналіз та візуалізація даних\Лабораторні роботи\Лабораторна №2\"/>
    </mc:Choice>
  </mc:AlternateContent>
  <xr:revisionPtr revIDLastSave="0" documentId="13_ncr:1_{74D12A67-938B-495D-A10B-5948BF980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віт про стійкість 1" sheetId="2" r:id="rId1"/>
    <sheet name="Аркуш1" sheetId="1" r:id="rId2"/>
  </sheets>
  <definedNames>
    <definedName name="solver_adj" localSheetId="1" hidden="1">Аркуш1!$B$2:$E$2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Аркуш1!$F$6:$F$10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Аркуш1!$G$3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Аркуш1!$G$6:$G$10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6" i="1"/>
  <c r="G3" i="1"/>
</calcChain>
</file>

<file path=xl/sharedStrings.xml><?xml version="1.0" encoding="utf-8"?>
<sst xmlns="http://schemas.openxmlformats.org/spreadsheetml/2006/main" count="54" uniqueCount="35">
  <si>
    <t>Astro</t>
  </si>
  <si>
    <t>Cosmo</t>
  </si>
  <si>
    <t>Nova</t>
  </si>
  <si>
    <t>Vega</t>
  </si>
  <si>
    <t>Прибуток:</t>
  </si>
  <si>
    <t>ВИКОРИСТАНО</t>
  </si>
  <si>
    <t>Ліміти ресурсів</t>
  </si>
  <si>
    <t>Microsoft Excel 16.0 Звіт про стійкість</t>
  </si>
  <si>
    <t>Аркуш: [ІАВД_ЛАБ-2.xlsx]Аркуш1</t>
  </si>
  <si>
    <t>Звіт створено: 05.10.2026 16:53:46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</si>
  <si>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</si>
  <si>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</si>
  <si>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</si>
  <si>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</si>
  <si>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</si>
  <si>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</si>
  <si>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</si>
  <si>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</si>
  <si>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</si>
  <si>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</si>
  <si>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</si>
  <si>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</si>
  <si>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</si>
  <si>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</si>
  <si>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</si>
  <si>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</si>
  <si>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$B$2</t>
  </si>
  <si>
    <t>$C$2</t>
  </si>
  <si>
    <t>$D$2</t>
  </si>
  <si>
    <t>$E$2</t>
  </si>
  <si>
    <t>$F$6</t>
  </si>
  <si>
    <t>$F$7</t>
  </si>
  <si>
    <t>$F$8</t>
  </si>
  <si>
    <t>$F$9</t>
  </si>
  <si>
    <t>$F$10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</si>
</sst>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ED8B-0D92-4989-BCAD-F25865702BFE}">
  <dimension ref="A1:H21"/>
  <sheetViews>
    <sheetView showGridLines="0" tabSelected="1" workbookViewId="0">
      <selection activeCell="M18" sqref="M18"/>
    </sheetView>
  </sheetViews>
  <sheetFormatPr defaultRowHeight="14.4" x14ac:dyDescent="0.3"/>
  <cols>
    <col min="1" max="1" width="2.33203125" customWidth="1"/>
    <col min="2" max="2" width="8.5546875" bestFit="1" customWidth="1"/>
    <col min="3" max="3" width="14.109375" bestFit="1" customWidth="1"/>
    <col min="4" max="4" width="12" bestFit="1" customWidth="1"/>
    <col min="5" max="5" width="12.6640625" bestFit="1" customWidth="1"/>
    <col min="6" max="6" width="15.44140625" bestFit="1" customWidth="1"/>
    <col min="7" max="8" width="12" bestFit="1" customWidth="1"/>
  </cols>
  <sheetData>
    <row r="1" spans="1:8" x14ac:dyDescent="0.3">
      <c r="A1" s="3" t="s">
        <v>7</v>
      </c>
    </row>
    <row r="2" spans="1:8" x14ac:dyDescent="0.3">
      <c r="A2" s="3" t="s">
        <v>8</v>
      </c>
    </row>
    <row r="3" spans="1:8" x14ac:dyDescent="0.3">
      <c r="A3" s="3" t="s">
        <v>9</v>
      </c>
    </row>
    <row r="6" spans="1:8" ht="15" thickBot="1" x14ac:dyDescent="0.35">
      <c r="A6" t="s">
        <v>10</v>
      </c>
    </row>
    <row r="7" spans="1:8" x14ac:dyDescent="0.3">
      <c r="B7" s="6"/>
      <c r="C7" s="6"/>
      <c r="D7" s="6" t="s">
        <v>13</v>
      </c>
      <c r="E7" s="6" t="s">
        <v>15</v>
      </c>
      <c r="F7" s="6" t="s">
        <v>17</v>
      </c>
      <c r="G7" s="6" t="s">
        <v>19</v>
      </c>
      <c r="H7" s="6" t="s">
        <v>19</v>
      </c>
    </row>
    <row r="8" spans="1:8" ht="15" thickBot="1" x14ac:dyDescent="0.35">
      <c r="B8" s="7" t="s">
        <v>11</v>
      </c>
      <c r="C8" s="7" t="s">
        <v>12</v>
      </c>
      <c r="D8" s="7" t="s">
        <v>14</v>
      </c>
      <c r="E8" s="7" t="s">
        <v>16</v>
      </c>
      <c r="F8" s="7" t="s">
        <v>18</v>
      </c>
      <c r="G8" s="7" t="s">
        <v>20</v>
      </c>
      <c r="H8" s="7" t="s">
        <v>21</v>
      </c>
    </row>
    <row r="9" spans="1:8" x14ac:dyDescent="0.3">
      <c r="B9" s="4" t="s">
        <v>26</v>
      </c>
      <c r="C9" s="4" t="s">
        <v>0</v>
      </c>
      <c r="D9" s="4">
        <v>0</v>
      </c>
      <c r="E9" s="4">
        <v>-32.33333333333335</v>
      </c>
      <c r="F9" s="4">
        <v>33</v>
      </c>
      <c r="G9" s="4">
        <v>32.33333333333335</v>
      </c>
      <c r="H9" s="4">
        <v>1E+30</v>
      </c>
    </row>
    <row r="10" spans="1:8" x14ac:dyDescent="0.3">
      <c r="B10" s="4" t="s">
        <v>27</v>
      </c>
      <c r="C10" s="4" t="s">
        <v>1</v>
      </c>
      <c r="D10" s="4">
        <v>77.533333333333317</v>
      </c>
      <c r="E10" s="4">
        <v>0</v>
      </c>
      <c r="F10" s="4">
        <v>52</v>
      </c>
      <c r="G10" s="4">
        <v>30.000000000000007</v>
      </c>
      <c r="H10" s="4">
        <v>52</v>
      </c>
    </row>
    <row r="11" spans="1:8" x14ac:dyDescent="0.3">
      <c r="B11" s="4" t="s">
        <v>28</v>
      </c>
      <c r="C11" s="4" t="s">
        <v>2</v>
      </c>
      <c r="D11" s="4">
        <v>0</v>
      </c>
      <c r="E11" s="4">
        <v>-12.000000000000004</v>
      </c>
      <c r="F11" s="4">
        <v>20</v>
      </c>
      <c r="G11" s="4">
        <v>12.000000000000004</v>
      </c>
      <c r="H11" s="4">
        <v>1E+30</v>
      </c>
    </row>
    <row r="12" spans="1:8" ht="15" thickBot="1" x14ac:dyDescent="0.35">
      <c r="B12" s="5" t="s">
        <v>29</v>
      </c>
      <c r="C12" s="5" t="s">
        <v>3</v>
      </c>
      <c r="D12" s="5">
        <v>174.60000000000002</v>
      </c>
      <c r="E12" s="5">
        <v>0</v>
      </c>
      <c r="F12" s="5">
        <v>66</v>
      </c>
      <c r="G12" s="5">
        <v>1E+30</v>
      </c>
      <c r="H12" s="5">
        <v>15.000000000000004</v>
      </c>
    </row>
    <row r="14" spans="1:8" ht="15" thickBot="1" x14ac:dyDescent="0.35">
      <c r="A14" t="s">
        <v>22</v>
      </c>
    </row>
    <row r="15" spans="1:8" x14ac:dyDescent="0.3">
      <c r="B15" s="6"/>
      <c r="C15" s="6"/>
      <c r="D15" s="6" t="s">
        <v>13</v>
      </c>
      <c r="E15" s="6" t="s">
        <v>23</v>
      </c>
      <c r="F15" s="6" t="s">
        <v>22</v>
      </c>
      <c r="G15" s="6" t="s">
        <v>19</v>
      </c>
      <c r="H15" s="6" t="s">
        <v>19</v>
      </c>
    </row>
    <row r="16" spans="1:8" ht="15" thickBot="1" x14ac:dyDescent="0.35">
      <c r="B16" s="7" t="s">
        <v>11</v>
      </c>
      <c r="C16" s="7" t="s">
        <v>12</v>
      </c>
      <c r="D16" s="7" t="s">
        <v>14</v>
      </c>
      <c r="E16" s="7" t="s">
        <v>24</v>
      </c>
      <c r="F16" s="7" t="s">
        <v>25</v>
      </c>
      <c r="G16" s="7" t="s">
        <v>20</v>
      </c>
      <c r="H16" s="7" t="s">
        <v>21</v>
      </c>
    </row>
    <row r="17" spans="2:8" x14ac:dyDescent="0.3">
      <c r="B17" s="4" t="s">
        <v>30</v>
      </c>
      <c r="C17" s="4" t="s">
        <v>5</v>
      </c>
      <c r="D17" s="4">
        <v>989</v>
      </c>
      <c r="E17" s="4">
        <v>8.6666666666666661</v>
      </c>
      <c r="F17" s="4">
        <v>989</v>
      </c>
      <c r="G17" s="4">
        <v>201.04000000000005</v>
      </c>
      <c r="H17" s="4">
        <v>465.19999999999993</v>
      </c>
    </row>
    <row r="18" spans="2:8" x14ac:dyDescent="0.3">
      <c r="B18" s="4" t="s">
        <v>31</v>
      </c>
      <c r="C18" s="4" t="s">
        <v>5</v>
      </c>
      <c r="D18" s="4">
        <v>911.4666666666667</v>
      </c>
      <c r="E18" s="4">
        <v>0</v>
      </c>
      <c r="F18" s="4">
        <v>1079</v>
      </c>
      <c r="G18" s="4">
        <v>1E+30</v>
      </c>
      <c r="H18" s="4">
        <v>167.53333333333336</v>
      </c>
    </row>
    <row r="19" spans="2:8" x14ac:dyDescent="0.3">
      <c r="B19" s="4" t="s">
        <v>32</v>
      </c>
      <c r="C19" s="4" t="s">
        <v>5</v>
      </c>
      <c r="D19" s="4">
        <v>873.00000000000011</v>
      </c>
      <c r="E19" s="4">
        <v>8</v>
      </c>
      <c r="F19" s="4">
        <v>873</v>
      </c>
      <c r="G19" s="4">
        <v>640.09523809523796</v>
      </c>
      <c r="H19" s="4">
        <v>873.00000000000011</v>
      </c>
    </row>
    <row r="20" spans="2:8" x14ac:dyDescent="0.3">
      <c r="B20" s="4" t="s">
        <v>33</v>
      </c>
      <c r="C20" s="4" t="s">
        <v>5</v>
      </c>
      <c r="D20" s="4">
        <v>581.79999999999995</v>
      </c>
      <c r="E20" s="4">
        <v>0</v>
      </c>
      <c r="F20" s="4">
        <v>1327</v>
      </c>
      <c r="G20" s="4">
        <v>1E+30</v>
      </c>
      <c r="H20" s="4">
        <v>745.2</v>
      </c>
    </row>
    <row r="21" spans="2:8" ht="15" thickBot="1" x14ac:dyDescent="0.35">
      <c r="B21" s="5" t="s">
        <v>34</v>
      </c>
      <c r="C21" s="5" t="s">
        <v>5</v>
      </c>
      <c r="D21" s="5">
        <v>775.93333333333339</v>
      </c>
      <c r="E21" s="5">
        <v>0</v>
      </c>
      <c r="F21" s="5">
        <v>1224</v>
      </c>
      <c r="G21" s="5">
        <v>1E+30</v>
      </c>
      <c r="H21" s="5">
        <v>448.06666666666661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K22" sqref="K22"/>
    </sheetView>
  </sheetViews>
  <sheetFormatPr defaultRowHeight="14.4" x14ac:dyDescent="0.3"/>
  <cols>
    <col min="1" max="1" width="9.77734375" customWidth="1"/>
    <col min="6" max="6" width="17.44140625" customWidth="1"/>
    <col min="7" max="7" width="18.10937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3">
      <c r="B2" s="2">
        <v>0</v>
      </c>
      <c r="C2" s="2">
        <v>77.533333333333317</v>
      </c>
      <c r="D2" s="2">
        <v>0</v>
      </c>
      <c r="E2" s="2">
        <v>174.60000000000002</v>
      </c>
    </row>
    <row r="3" spans="1:7" x14ac:dyDescent="0.3">
      <c r="A3" t="s">
        <v>4</v>
      </c>
      <c r="B3" s="1">
        <v>33</v>
      </c>
      <c r="C3" s="1">
        <v>52</v>
      </c>
      <c r="D3" s="1">
        <v>20</v>
      </c>
      <c r="E3" s="1">
        <v>66</v>
      </c>
      <c r="G3" s="1">
        <f>SUMPRODUCT(B2:E2, B3:E3)</f>
        <v>15555.333333333336</v>
      </c>
    </row>
    <row r="5" spans="1:7" x14ac:dyDescent="0.3">
      <c r="F5" t="s">
        <v>5</v>
      </c>
      <c r="G5" t="s">
        <v>6</v>
      </c>
    </row>
    <row r="6" spans="1:7" x14ac:dyDescent="0.3">
      <c r="B6" s="2">
        <v>2</v>
      </c>
      <c r="C6" s="2">
        <v>6</v>
      </c>
      <c r="D6" s="2">
        <v>0</v>
      </c>
      <c r="E6" s="2">
        <v>3</v>
      </c>
      <c r="F6" s="1">
        <f>SUMPRODUCT($B$2:$E$2, B6:E6)</f>
        <v>989</v>
      </c>
      <c r="G6" s="1">
        <v>989</v>
      </c>
    </row>
    <row r="7" spans="1:7" x14ac:dyDescent="0.3">
      <c r="B7" s="2">
        <v>2</v>
      </c>
      <c r="C7" s="2">
        <v>5</v>
      </c>
      <c r="D7" s="2">
        <v>5</v>
      </c>
      <c r="E7" s="2">
        <v>3</v>
      </c>
      <c r="F7" s="1">
        <f>SUMPRODUCT($B$2:$E$2, B7:E7)</f>
        <v>911.4666666666667</v>
      </c>
      <c r="G7" s="1">
        <v>1079</v>
      </c>
    </row>
    <row r="8" spans="1:7" x14ac:dyDescent="0.3">
      <c r="B8" s="2">
        <v>6</v>
      </c>
      <c r="C8" s="2">
        <v>0</v>
      </c>
      <c r="D8" s="2">
        <v>4</v>
      </c>
      <c r="E8" s="2">
        <v>5</v>
      </c>
      <c r="F8" s="1">
        <f t="shared" ref="F7:F10" si="0">SUMPRODUCT($B$2:$E$2, B8:E8)</f>
        <v>873.00000000000011</v>
      </c>
      <c r="G8" s="1">
        <v>873</v>
      </c>
    </row>
    <row r="9" spans="1:7" x14ac:dyDescent="0.3">
      <c r="B9" s="2">
        <v>1</v>
      </c>
      <c r="C9" s="2">
        <v>3</v>
      </c>
      <c r="D9" s="2">
        <v>6</v>
      </c>
      <c r="E9" s="2">
        <v>2</v>
      </c>
      <c r="F9" s="1">
        <f t="shared" si="0"/>
        <v>581.79999999999995</v>
      </c>
      <c r="G9" s="1">
        <v>1327</v>
      </c>
    </row>
    <row r="10" spans="1:7" x14ac:dyDescent="0.3">
      <c r="B10" s="2">
        <v>0</v>
      </c>
      <c r="C10" s="2">
        <v>1</v>
      </c>
      <c r="D10" s="2">
        <v>4</v>
      </c>
      <c r="E10" s="2">
        <v>4</v>
      </c>
      <c r="F10" s="1">
        <f t="shared" si="0"/>
        <v>775.93333333333339</v>
      </c>
      <c r="G10" s="1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2026-10-05T13:54:15Z</dcterms:modified>
</cp:coreProperties>
</file>